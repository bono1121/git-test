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eam\"/>
    </mc:Choice>
  </mc:AlternateContent>
  <xr:revisionPtr revIDLastSave="0" documentId="13_ncr:1_{CE631F5D-1BAB-477A-87D1-0D1593342B4F}" xr6:coauthVersionLast="47" xr6:coauthVersionMax="47" xr10:uidLastSave="{00000000-0000-0000-0000-000000000000}"/>
  <bookViews>
    <workbookView xWindow="-120" yWindow="-120" windowWidth="29040" windowHeight="15990" activeTab="1" xr2:uid="{E35C8B56-C8A0-4888-B5F7-ED400A9C8961}"/>
  </bookViews>
  <sheets>
    <sheet name="자바" sheetId="1" r:id="rId1"/>
    <sheet name="Sheet2" sheetId="2" r:id="rId2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4" i="2" l="1"/>
  <c r="L13" i="2"/>
  <c r="K14" i="2"/>
  <c r="J14" i="2"/>
  <c r="I14" i="2"/>
  <c r="H14" i="2"/>
  <c r="G14" i="2"/>
  <c r="F14" i="2"/>
  <c r="E14" i="2"/>
  <c r="K13" i="2"/>
  <c r="J13" i="2"/>
  <c r="I13" i="2"/>
  <c r="H13" i="2"/>
  <c r="G13" i="2"/>
  <c r="F13" i="2"/>
  <c r="E13" i="2"/>
  <c r="D15" i="2"/>
  <c r="D14" i="2"/>
  <c r="D13" i="2"/>
  <c r="D12" i="2"/>
  <c r="E12" i="2" s="1"/>
  <c r="H12" i="2"/>
  <c r="I12" i="2"/>
  <c r="I16" i="2" s="1"/>
  <c r="J12" i="2"/>
  <c r="J16" i="2" s="1"/>
  <c r="K12" i="2"/>
  <c r="K16" i="2" s="1"/>
  <c r="L12" i="2"/>
  <c r="L16" i="2"/>
  <c r="L4" i="2"/>
  <c r="L8" i="2"/>
  <c r="L9" i="2"/>
  <c r="K10" i="2"/>
  <c r="K3" i="2"/>
  <c r="J4" i="2"/>
  <c r="J5" i="2"/>
  <c r="J10" i="2"/>
  <c r="I4" i="2"/>
  <c r="I5" i="2"/>
  <c r="I10" i="2"/>
  <c r="I3" i="2"/>
  <c r="H4" i="2"/>
  <c r="H9" i="2"/>
  <c r="H11" i="2"/>
  <c r="H3" i="2"/>
  <c r="G8" i="2"/>
  <c r="G9" i="2"/>
  <c r="F7" i="2"/>
  <c r="F8" i="2"/>
  <c r="E4" i="2"/>
  <c r="E7" i="2"/>
  <c r="E3" i="2"/>
  <c r="D4" i="2"/>
  <c r="G4" i="2" s="1"/>
  <c r="D5" i="2"/>
  <c r="H5" i="2" s="1"/>
  <c r="D6" i="2"/>
  <c r="L6" i="2" s="1"/>
  <c r="D7" i="2"/>
  <c r="K7" i="2" s="1"/>
  <c r="D8" i="2"/>
  <c r="E8" i="2" s="1"/>
  <c r="D9" i="2"/>
  <c r="F9" i="2" s="1"/>
  <c r="D10" i="2"/>
  <c r="L10" i="2" s="1"/>
  <c r="D11" i="2"/>
  <c r="K11" i="2" s="1"/>
  <c r="D3" i="2"/>
  <c r="G3" i="2" s="1"/>
  <c r="E16" i="2" l="1"/>
  <c r="H16" i="2"/>
  <c r="G12" i="2"/>
  <c r="G16" i="2" s="1"/>
  <c r="F12" i="2"/>
  <c r="F16" i="2" s="1"/>
  <c r="L5" i="2"/>
  <c r="E5" i="2"/>
  <c r="F6" i="2"/>
  <c r="G7" i="2"/>
  <c r="H10" i="2"/>
  <c r="I11" i="2"/>
  <c r="J11" i="2"/>
  <c r="J3" i="2"/>
  <c r="K9" i="2"/>
  <c r="K5" i="2"/>
  <c r="K6" i="2"/>
  <c r="E11" i="2"/>
  <c r="F3" i="2"/>
  <c r="F4" i="2"/>
  <c r="G5" i="2"/>
  <c r="H8" i="2"/>
  <c r="I9" i="2"/>
  <c r="J9" i="2"/>
  <c r="L3" i="2"/>
  <c r="K8" i="2"/>
  <c r="K4" i="2"/>
  <c r="F5" i="2"/>
  <c r="E10" i="2"/>
  <c r="F11" i="2"/>
  <c r="H7" i="2"/>
  <c r="I8" i="2"/>
  <c r="J8" i="2"/>
  <c r="L11" i="2"/>
  <c r="L7" i="2"/>
  <c r="E9" i="2"/>
  <c r="F10" i="2"/>
  <c r="G11" i="2"/>
  <c r="H6" i="2"/>
  <c r="I7" i="2"/>
  <c r="J7" i="2"/>
  <c r="E6" i="2"/>
  <c r="G6" i="2"/>
  <c r="G10" i="2"/>
  <c r="I6" i="2"/>
  <c r="J6" i="2"/>
  <c r="M16" i="2" l="1"/>
</calcChain>
</file>

<file path=xl/sharedStrings.xml><?xml version="1.0" encoding="utf-8"?>
<sst xmlns="http://schemas.openxmlformats.org/spreadsheetml/2006/main" count="52" uniqueCount="52">
  <si>
    <t>주제</t>
    <phoneticPr fontId="5" type="noConversion"/>
  </si>
  <si>
    <t>컨셉</t>
    <phoneticPr fontId="5" type="noConversion"/>
  </si>
  <si>
    <t>구분</t>
    <phoneticPr fontId="5" type="noConversion"/>
  </si>
  <si>
    <t>총론</t>
    <phoneticPr fontId="5" type="noConversion"/>
  </si>
  <si>
    <t>각론</t>
    <phoneticPr fontId="5" type="noConversion"/>
  </si>
  <si>
    <t>중급</t>
    <phoneticPr fontId="5" type="noConversion"/>
  </si>
  <si>
    <t>초급</t>
    <phoneticPr fontId="5" type="noConversion"/>
  </si>
  <si>
    <t>고급</t>
    <phoneticPr fontId="5" type="noConversion"/>
  </si>
  <si>
    <t>상</t>
    <phoneticPr fontId="5" type="noConversion"/>
  </si>
  <si>
    <t>하</t>
    <phoneticPr fontId="5" type="noConversion"/>
  </si>
  <si>
    <t>실전</t>
    <phoneticPr fontId="5" type="noConversion"/>
  </si>
  <si>
    <t>자바</t>
    <phoneticPr fontId="5" type="noConversion"/>
  </si>
  <si>
    <t>이론+바로 실습을 통한 이해를 바탕으로 실전으로 마무리한다.</t>
    <phoneticPr fontId="5" type="noConversion"/>
  </si>
  <si>
    <t>자바 언어 습득</t>
    <phoneticPr fontId="5" type="noConversion"/>
  </si>
  <si>
    <t>자바를 쉽고 빠르게 익혀 실전에 바로 적용해본다.</t>
    <phoneticPr fontId="5" type="noConversion"/>
  </si>
  <si>
    <t>클래스구성요소 활용</t>
    <phoneticPr fontId="5" type="noConversion"/>
  </si>
  <si>
    <t>ArrayList를 활용한 콘솔 프로젝트</t>
  </si>
  <si>
    <t>기본문을 활용한 콘솔 퀴즈</t>
    <phoneticPr fontId="5" type="noConversion"/>
  </si>
  <si>
    <t>클래스구성요소 역할</t>
    <phoneticPr fontId="5" type="noConversion"/>
  </si>
  <si>
    <t>클래스와 객체</t>
    <phoneticPr fontId="5" type="noConversion"/>
  </si>
  <si>
    <t>상속, 인터페이스, 예외, 제너릭</t>
    <phoneticPr fontId="5" type="noConversion"/>
  </si>
  <si>
    <t>람다식, 컬렉션, 스트림과 병렬처리</t>
    <phoneticPr fontId="5" type="noConversion"/>
  </si>
  <si>
    <t>기한</t>
    <phoneticPr fontId="5" type="noConversion"/>
  </si>
  <si>
    <t>8월 말까지</t>
    <phoneticPr fontId="5" type="noConversion"/>
  </si>
  <si>
    <t>현재 ~ 2022년 4월 말까지</t>
    <phoneticPr fontId="5" type="noConversion"/>
  </si>
  <si>
    <t>12월 말까지</t>
    <phoneticPr fontId="5" type="noConversion"/>
  </si>
  <si>
    <t>자바 온라인 강의 만들기</t>
    <phoneticPr fontId="5" type="noConversion"/>
  </si>
  <si>
    <t>스레드, IO, JavaFx</t>
    <phoneticPr fontId="5" type="noConversion"/>
  </si>
  <si>
    <t>JavaFx를 활용한 채팅 또는 FPT</t>
    <phoneticPr fontId="5" type="noConversion"/>
  </si>
  <si>
    <t>하루세끼 맛있는 걸 먹기위해!!!</t>
    <phoneticPr fontId="5" type="noConversion"/>
  </si>
  <si>
    <t>스프링부트</t>
    <phoneticPr fontId="5" type="noConversion"/>
  </si>
  <si>
    <t>스프링</t>
    <phoneticPr fontId="5" type="noConversion"/>
  </si>
  <si>
    <t>스프링을 위한 서블릿 &amp; JSP</t>
    <phoneticPr fontId="5" type="noConversion"/>
  </si>
  <si>
    <t>vue</t>
    <phoneticPr fontId="5" type="noConversion"/>
  </si>
  <si>
    <t>Jquery &amp; ajax</t>
    <phoneticPr fontId="5" type="noConversion"/>
  </si>
  <si>
    <t>자바스크립트</t>
    <phoneticPr fontId="5" type="noConversion"/>
  </si>
  <si>
    <t>화면</t>
    <phoneticPr fontId="5" type="noConversion"/>
  </si>
  <si>
    <t>자바중급</t>
    <phoneticPr fontId="5" type="noConversion"/>
  </si>
  <si>
    <t>자바초급</t>
    <phoneticPr fontId="5" type="noConversion"/>
  </si>
  <si>
    <t>책</t>
    <phoneticPr fontId="5" type="noConversion"/>
  </si>
  <si>
    <t>동영상</t>
    <phoneticPr fontId="5" type="noConversion"/>
  </si>
  <si>
    <t>강의</t>
    <phoneticPr fontId="5" type="noConversion"/>
  </si>
  <si>
    <t>합계</t>
    <phoneticPr fontId="5" type="noConversion"/>
  </si>
  <si>
    <t>명수</t>
    <phoneticPr fontId="5" type="noConversion"/>
  </si>
  <si>
    <t>누적명수</t>
    <phoneticPr fontId="5" type="noConversion"/>
  </si>
  <si>
    <t>git_git_hub</t>
    <phoneticPr fontId="5" type="noConversion"/>
  </si>
  <si>
    <t>one pick, one hour, one day, one week 등등</t>
    <phoneticPr fontId="5" type="noConversion"/>
  </si>
  <si>
    <t>깃</t>
    <phoneticPr fontId="5" type="noConversion"/>
  </si>
  <si>
    <t>db</t>
    <phoneticPr fontId="5" type="noConversion"/>
  </si>
  <si>
    <t>*블로그에 설치에 대한 것들은 6개월에 한번씩 체크 및 update 한다.</t>
    <phoneticPr fontId="5" type="noConversion"/>
  </si>
  <si>
    <t>원데이 DB_오라클?</t>
    <phoneticPr fontId="5" type="noConversion"/>
  </si>
  <si>
    <t>원데이 DB_마리아?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</si>
</sst>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_);[Red]\(#,##0\)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22"/>
      <color rgb="FF006100"/>
      <name val="맑은 고딕"/>
      <family val="2"/>
      <charset val="129"/>
      <scheme val="minor"/>
    </font>
    <font>
      <sz val="22"/>
      <color rgb="FF006100"/>
      <name val="맑은 고딕"/>
      <family val="3"/>
      <charset val="129"/>
      <scheme val="minor"/>
    </font>
    <font>
      <sz val="14"/>
      <color theme="0"/>
      <name val="맑은 고딕"/>
      <family val="2"/>
      <charset val="129"/>
      <scheme val="minor"/>
    </font>
    <font>
      <sz val="14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2" fillId="0" borderId="1" applyNumberFormat="0" applyFill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2" xfId="0" applyBorder="1">
      <alignment vertical="center"/>
    </xf>
    <xf numFmtId="0" fontId="6" fillId="0" borderId="0" xfId="0" applyFont="1">
      <alignment vertical="center"/>
    </xf>
    <xf numFmtId="0" fontId="0" fillId="0" borderId="8" xfId="0" applyBorder="1">
      <alignment vertical="center"/>
    </xf>
    <xf numFmtId="0" fontId="10" fillId="3" borderId="3" xfId="3" applyFon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7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1" fillId="4" borderId="9" xfId="4" applyBorder="1" applyAlignment="1">
      <alignment horizontal="center" vertical="center"/>
    </xf>
    <xf numFmtId="0" fontId="1" fillId="4" borderId="2" xfId="4" applyBorder="1" applyAlignment="1">
      <alignment horizontal="center" vertical="center"/>
    </xf>
    <xf numFmtId="0" fontId="1" fillId="4" borderId="8" xfId="4" applyBorder="1" applyAlignment="1">
      <alignment horizontal="center" vertical="center"/>
    </xf>
    <xf numFmtId="31" fontId="0" fillId="0" borderId="0" xfId="0" applyNumberFormat="1" applyAlignment="1"/>
    <xf numFmtId="0" fontId="11" fillId="0" borderId="0" xfId="0" applyFont="1">
      <alignment vertical="center"/>
    </xf>
    <xf numFmtId="176" fontId="11" fillId="0" borderId="0" xfId="0" applyNumberFormat="1" applyFont="1">
      <alignment vertical="center"/>
    </xf>
    <xf numFmtId="177" fontId="11" fillId="0" borderId="0" xfId="0" applyNumberFormat="1" applyFont="1">
      <alignment vertical="center"/>
    </xf>
    <xf numFmtId="0" fontId="12" fillId="0" borderId="0" xfId="0" applyFont="1">
      <alignment vertical="center"/>
    </xf>
    <xf numFmtId="176" fontId="11" fillId="0" borderId="0" xfId="0" applyNumberFormat="1" applyFont="1" applyAlignment="1">
      <alignment horizontal="center" vertical="center"/>
    </xf>
    <xf numFmtId="177" fontId="11" fillId="0" borderId="0" xfId="0" applyNumberFormat="1" applyFont="1" applyAlignment="1">
      <alignment horizontal="center" vertical="center"/>
    </xf>
    <xf numFmtId="0" fontId="10" fillId="3" borderId="10" xfId="3" applyFont="1" applyBorder="1" applyAlignment="1">
      <alignment horizontal="center" vertical="center"/>
    </xf>
    <xf numFmtId="0" fontId="10" fillId="3" borderId="13" xfId="3" applyFont="1" applyBorder="1" applyAlignment="1">
      <alignment horizontal="center" vertical="center"/>
    </xf>
    <xf numFmtId="0" fontId="2" fillId="0" borderId="1" xfId="1" applyAlignment="1">
      <alignment horizontal="center" vertical="center"/>
    </xf>
    <xf numFmtId="0" fontId="7" fillId="2" borderId="0" xfId="2" applyFont="1" applyAlignment="1">
      <alignment horizontal="center" vertical="center"/>
    </xf>
    <xf numFmtId="0" fontId="8" fillId="2" borderId="0" xfId="2" applyFont="1" applyAlignment="1">
      <alignment horizontal="center" vertical="center"/>
    </xf>
    <xf numFmtId="0" fontId="10" fillId="3" borderId="9" xfId="3" applyFon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2" xfId="0" applyBorder="1">
      <alignment vertical="center"/>
    </xf>
    <xf numFmtId="0" fontId="0" fillId="0" borderId="8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9" fillId="3" borderId="5" xfId="3" applyFont="1" applyBorder="1" applyAlignment="1">
      <alignment horizontal="center" vertical="center"/>
    </xf>
    <xf numFmtId="0" fontId="10" fillId="3" borderId="6" xfId="3" applyFont="1" applyBorder="1" applyAlignment="1">
      <alignment horizontal="center" vertical="center"/>
    </xf>
    <xf numFmtId="0" fontId="10" fillId="3" borderId="7" xfId="3" applyFont="1" applyBorder="1" applyAlignment="1">
      <alignment horizontal="center" vertical="center"/>
    </xf>
    <xf numFmtId="0" fontId="10" fillId="3" borderId="4" xfId="3" applyFont="1" applyBorder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177" fontId="11" fillId="0" borderId="0" xfId="0" applyNumberFormat="1" applyFont="1" applyAlignment="1">
      <alignment horizontal="center" vertical="center"/>
    </xf>
  </cellXfs>
  <cellStyles count="5">
    <cellStyle name="20% - 강조색1" xfId="4" builtinId="30"/>
    <cellStyle name="강조색1" xfId="3" builtinId="29"/>
    <cellStyle name="제목 1" xfId="1" builtinId="16"/>
    <cellStyle name="좋음" xfId="2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3622C-20CD-421D-AC0D-BE12E8D52A24}">
  <dimension ref="A1:E13"/>
  <sheetViews>
    <sheetView workbookViewId="0">
      <selection activeCell="C17" sqref="C17"/>
    </sheetView>
  </sheetViews>
  <sheetFormatPr defaultRowHeight="16.5" x14ac:dyDescent="0.3"/>
  <cols>
    <col min="3" max="5" width="31.375" customWidth="1"/>
  </cols>
  <sheetData>
    <row r="1" spans="1:5" ht="27.75" customHeight="1" thickBot="1" x14ac:dyDescent="0.35">
      <c r="A1" s="21" t="s">
        <v>26</v>
      </c>
      <c r="B1" s="21"/>
      <c r="C1" s="21"/>
      <c r="D1" s="21"/>
      <c r="E1" s="21"/>
    </row>
    <row r="2" spans="1:5" ht="30.75" customHeight="1" thickTop="1" thickBot="1" x14ac:dyDescent="0.35">
      <c r="E2" s="12">
        <v>44518</v>
      </c>
    </row>
    <row r="3" spans="1:5" ht="41.25" customHeight="1" x14ac:dyDescent="0.3">
      <c r="A3" s="31" t="s">
        <v>0</v>
      </c>
      <c r="B3" s="32"/>
      <c r="C3" s="28" t="s">
        <v>13</v>
      </c>
      <c r="D3" s="29"/>
      <c r="E3" s="30"/>
    </row>
    <row r="4" spans="1:5" ht="41.25" customHeight="1" x14ac:dyDescent="0.3">
      <c r="A4" s="33" t="s">
        <v>1</v>
      </c>
      <c r="B4" s="34"/>
      <c r="C4" s="25" t="s">
        <v>12</v>
      </c>
      <c r="D4" s="26"/>
      <c r="E4" s="27"/>
    </row>
    <row r="5" spans="1:5" ht="41.25" customHeight="1" x14ac:dyDescent="0.3">
      <c r="A5" s="33" t="s">
        <v>3</v>
      </c>
      <c r="B5" s="34"/>
      <c r="C5" s="25" t="s">
        <v>14</v>
      </c>
      <c r="D5" s="26"/>
      <c r="E5" s="27"/>
    </row>
    <row r="6" spans="1:5" ht="41.25" customHeight="1" x14ac:dyDescent="0.3">
      <c r="A6" s="33" t="s">
        <v>2</v>
      </c>
      <c r="B6" s="34"/>
      <c r="C6" s="9" t="s">
        <v>6</v>
      </c>
      <c r="D6" s="10" t="s">
        <v>5</v>
      </c>
      <c r="E6" s="11" t="s">
        <v>7</v>
      </c>
    </row>
    <row r="7" spans="1:5" ht="41.25" customHeight="1" x14ac:dyDescent="0.3">
      <c r="A7" s="24" t="s">
        <v>4</v>
      </c>
      <c r="B7" s="4" t="s">
        <v>8</v>
      </c>
      <c r="C7" s="5" t="s">
        <v>18</v>
      </c>
      <c r="D7" s="1" t="s">
        <v>19</v>
      </c>
      <c r="E7" s="3" t="s">
        <v>21</v>
      </c>
    </row>
    <row r="8" spans="1:5" ht="41.25" customHeight="1" x14ac:dyDescent="0.3">
      <c r="A8" s="24"/>
      <c r="B8" s="4" t="s">
        <v>9</v>
      </c>
      <c r="C8" s="5" t="s">
        <v>15</v>
      </c>
      <c r="D8" s="1" t="s">
        <v>20</v>
      </c>
      <c r="E8" s="3" t="s">
        <v>27</v>
      </c>
    </row>
    <row r="9" spans="1:5" ht="41.25" customHeight="1" x14ac:dyDescent="0.3">
      <c r="A9" s="24"/>
      <c r="B9" s="4" t="s">
        <v>10</v>
      </c>
      <c r="C9" s="5" t="s">
        <v>17</v>
      </c>
      <c r="D9" s="1" t="s">
        <v>16</v>
      </c>
      <c r="E9" s="3" t="s">
        <v>28</v>
      </c>
    </row>
    <row r="10" spans="1:5" ht="41.25" customHeight="1" thickBot="1" x14ac:dyDescent="0.35">
      <c r="A10" s="19" t="s">
        <v>22</v>
      </c>
      <c r="B10" s="20"/>
      <c r="C10" s="6" t="s">
        <v>24</v>
      </c>
      <c r="D10" s="7" t="s">
        <v>23</v>
      </c>
      <c r="E10" s="8" t="s">
        <v>25</v>
      </c>
    </row>
    <row r="11" spans="1:5" x14ac:dyDescent="0.3">
      <c r="A11" s="2"/>
    </row>
    <row r="12" spans="1:5" x14ac:dyDescent="0.3">
      <c r="A12" s="22" t="s">
        <v>29</v>
      </c>
      <c r="B12" s="23"/>
      <c r="C12" s="23"/>
      <c r="D12" s="23"/>
      <c r="E12" s="23"/>
    </row>
    <row r="13" spans="1:5" x14ac:dyDescent="0.3">
      <c r="A13" s="23"/>
      <c r="B13" s="23"/>
      <c r="C13" s="23"/>
      <c r="D13" s="23"/>
      <c r="E13" s="23"/>
    </row>
  </sheetData>
  <mergeCells count="11">
    <mergeCell ref="A10:B10"/>
    <mergeCell ref="A1:E1"/>
    <mergeCell ref="A12:E13"/>
    <mergeCell ref="A7:A9"/>
    <mergeCell ref="C4:E4"/>
    <mergeCell ref="C3:E3"/>
    <mergeCell ref="C5:E5"/>
    <mergeCell ref="A3:B3"/>
    <mergeCell ref="A4:B4"/>
    <mergeCell ref="A5:B5"/>
    <mergeCell ref="A6:B6"/>
  </mergeCells>
  <phoneticPr fontId="5" type="noConversion"/>
  <pageMargins left="1" right="1" top="1" bottom="1" header="0.5" footer="0.5"/>
  <pageSetup paperSize="9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62C65-D2BC-4935-99E6-50AA9FBA6AB4}">
  <dimension ref="A1:M20"/>
  <sheetViews>
    <sheetView tabSelected="1" workbookViewId="0">
      <selection activeCell="F20" sqref="F20"/>
    </sheetView>
  </sheetViews>
  <sheetFormatPr defaultRowHeight="17.25" x14ac:dyDescent="0.3"/>
  <cols>
    <col min="1" max="1" width="42.5" style="13" customWidth="1"/>
    <col min="2" max="9" width="15.25" style="14" customWidth="1"/>
    <col min="10" max="12" width="15.25" style="15" customWidth="1"/>
    <col min="13" max="13" width="13.25" style="13" customWidth="1"/>
    <col min="14" max="16384" width="9" style="13"/>
  </cols>
  <sheetData>
    <row r="1" spans="1:13" x14ac:dyDescent="0.3">
      <c r="A1" s="13" t="s">
        <v>46</v>
      </c>
      <c r="B1" s="35" t="s">
        <v>40</v>
      </c>
      <c r="C1" s="35" t="s">
        <v>39</v>
      </c>
      <c r="D1" s="35" t="s">
        <v>42</v>
      </c>
      <c r="E1" s="35" t="s">
        <v>43</v>
      </c>
      <c r="F1" s="35"/>
      <c r="G1" s="35"/>
      <c r="H1" s="35"/>
      <c r="I1" s="35"/>
      <c r="J1" s="36" t="s">
        <v>44</v>
      </c>
      <c r="K1" s="36"/>
      <c r="L1" s="36"/>
    </row>
    <row r="2" spans="1:13" x14ac:dyDescent="0.3">
      <c r="A2" s="13" t="s">
        <v>41</v>
      </c>
      <c r="B2" s="35"/>
      <c r="C2" s="35"/>
      <c r="D2" s="35"/>
      <c r="E2" s="17">
        <v>10</v>
      </c>
      <c r="F2" s="17">
        <v>20</v>
      </c>
      <c r="G2" s="17">
        <v>30</v>
      </c>
      <c r="H2" s="17">
        <v>40</v>
      </c>
      <c r="I2" s="17">
        <v>50</v>
      </c>
      <c r="J2" s="18">
        <v>1000</v>
      </c>
      <c r="K2" s="18">
        <v>2000</v>
      </c>
      <c r="L2" s="18">
        <v>3000</v>
      </c>
    </row>
    <row r="3" spans="1:13" x14ac:dyDescent="0.3">
      <c r="A3" s="13" t="s">
        <v>38</v>
      </c>
      <c r="B3" s="14">
        <v>0</v>
      </c>
      <c r="C3" s="14">
        <v>7000</v>
      </c>
      <c r="D3" s="14">
        <f>B3+C3</f>
        <v>7000</v>
      </c>
      <c r="E3" s="14">
        <f>D3*10</f>
        <v>70000</v>
      </c>
      <c r="F3" s="14">
        <f>D3*20</f>
        <v>140000</v>
      </c>
      <c r="G3" s="14">
        <f>D3*30</f>
        <v>210000</v>
      </c>
      <c r="H3" s="14">
        <f>D3*40</f>
        <v>280000</v>
      </c>
      <c r="I3" s="14">
        <f>D3*50</f>
        <v>350000</v>
      </c>
      <c r="J3" s="15">
        <f>D3*1000</f>
        <v>7000000</v>
      </c>
      <c r="K3" s="15">
        <f>D3*2000</f>
        <v>14000000</v>
      </c>
      <c r="L3" s="15">
        <f>D3*3000</f>
        <v>21000000</v>
      </c>
    </row>
    <row r="4" spans="1:13" x14ac:dyDescent="0.3">
      <c r="A4" s="13" t="s">
        <v>37</v>
      </c>
      <c r="B4" s="14">
        <v>35000</v>
      </c>
      <c r="C4" s="14">
        <v>7000</v>
      </c>
      <c r="D4" s="14">
        <f t="shared" ref="D4:D15" si="0">B4+C4</f>
        <v>42000</v>
      </c>
      <c r="E4" s="14">
        <f t="shared" ref="E4:E14" si="1">D4*10</f>
        <v>420000</v>
      </c>
      <c r="F4" s="14">
        <f t="shared" ref="F4:F12" si="2">D4*20</f>
        <v>840000</v>
      </c>
      <c r="G4" s="14">
        <f t="shared" ref="G4:G12" si="3">D4*30</f>
        <v>1260000</v>
      </c>
      <c r="H4" s="14">
        <f t="shared" ref="H4:H12" si="4">D4*40</f>
        <v>1680000</v>
      </c>
      <c r="I4" s="14">
        <f t="shared" ref="I4:I12" si="5">D4*50</f>
        <v>2100000</v>
      </c>
      <c r="J4" s="15">
        <f t="shared" ref="J4:J12" si="6">D4*1000</f>
        <v>42000000</v>
      </c>
      <c r="K4" s="15">
        <f t="shared" ref="K4:K12" si="7">D4*2000</f>
        <v>84000000</v>
      </c>
      <c r="L4" s="15">
        <f t="shared" ref="L4:L14" si="8">D4*3000</f>
        <v>126000000</v>
      </c>
    </row>
    <row r="5" spans="1:13" x14ac:dyDescent="0.3">
      <c r="A5" s="13" t="s">
        <v>36</v>
      </c>
      <c r="B5" s="14">
        <v>2000</v>
      </c>
      <c r="D5" s="14">
        <f t="shared" si="0"/>
        <v>2000</v>
      </c>
      <c r="E5" s="14">
        <f t="shared" si="1"/>
        <v>20000</v>
      </c>
      <c r="F5" s="14">
        <f t="shared" si="2"/>
        <v>40000</v>
      </c>
      <c r="G5" s="14">
        <f t="shared" si="3"/>
        <v>60000</v>
      </c>
      <c r="H5" s="14">
        <f t="shared" si="4"/>
        <v>80000</v>
      </c>
      <c r="I5" s="14">
        <f t="shared" si="5"/>
        <v>100000</v>
      </c>
      <c r="J5" s="15">
        <f t="shared" si="6"/>
        <v>2000000</v>
      </c>
      <c r="K5" s="15">
        <f t="shared" si="7"/>
        <v>4000000</v>
      </c>
      <c r="L5" s="15">
        <f t="shared" si="8"/>
        <v>6000000</v>
      </c>
    </row>
    <row r="6" spans="1:13" x14ac:dyDescent="0.3">
      <c r="A6" s="13" t="s">
        <v>35</v>
      </c>
      <c r="B6" s="14">
        <v>20000</v>
      </c>
      <c r="D6" s="14">
        <f t="shared" si="0"/>
        <v>20000</v>
      </c>
      <c r="E6" s="14">
        <f t="shared" si="1"/>
        <v>200000</v>
      </c>
      <c r="F6" s="14">
        <f t="shared" si="2"/>
        <v>400000</v>
      </c>
      <c r="G6" s="14">
        <f t="shared" si="3"/>
        <v>600000</v>
      </c>
      <c r="H6" s="14">
        <f t="shared" si="4"/>
        <v>800000</v>
      </c>
      <c r="I6" s="14">
        <f t="shared" si="5"/>
        <v>1000000</v>
      </c>
      <c r="J6" s="15">
        <f t="shared" si="6"/>
        <v>20000000</v>
      </c>
      <c r="K6" s="15">
        <f t="shared" si="7"/>
        <v>40000000</v>
      </c>
      <c r="L6" s="15">
        <f t="shared" si="8"/>
        <v>60000000</v>
      </c>
    </row>
    <row r="7" spans="1:13" x14ac:dyDescent="0.3">
      <c r="A7" s="13" t="s">
        <v>34</v>
      </c>
      <c r="B7" s="14">
        <v>15000</v>
      </c>
      <c r="D7" s="14">
        <f t="shared" si="0"/>
        <v>15000</v>
      </c>
      <c r="E7" s="14">
        <f t="shared" si="1"/>
        <v>150000</v>
      </c>
      <c r="F7" s="14">
        <f t="shared" si="2"/>
        <v>300000</v>
      </c>
      <c r="G7" s="14">
        <f t="shared" si="3"/>
        <v>450000</v>
      </c>
      <c r="H7" s="14">
        <f t="shared" si="4"/>
        <v>600000</v>
      </c>
      <c r="I7" s="14">
        <f t="shared" si="5"/>
        <v>750000</v>
      </c>
      <c r="J7" s="15">
        <f t="shared" si="6"/>
        <v>15000000</v>
      </c>
      <c r="K7" s="15">
        <f t="shared" si="7"/>
        <v>30000000</v>
      </c>
      <c r="L7" s="15">
        <f t="shared" si="8"/>
        <v>45000000</v>
      </c>
    </row>
    <row r="8" spans="1:13" x14ac:dyDescent="0.3">
      <c r="A8" s="13" t="s">
        <v>33</v>
      </c>
      <c r="B8" s="14">
        <v>2000</v>
      </c>
      <c r="D8" s="14">
        <f t="shared" si="0"/>
        <v>2000</v>
      </c>
      <c r="E8" s="14">
        <f t="shared" si="1"/>
        <v>20000</v>
      </c>
      <c r="F8" s="14">
        <f t="shared" si="2"/>
        <v>40000</v>
      </c>
      <c r="G8" s="14">
        <f t="shared" si="3"/>
        <v>60000</v>
      </c>
      <c r="H8" s="14">
        <f t="shared" si="4"/>
        <v>80000</v>
      </c>
      <c r="I8" s="14">
        <f t="shared" si="5"/>
        <v>100000</v>
      </c>
      <c r="J8" s="15">
        <f t="shared" si="6"/>
        <v>2000000</v>
      </c>
      <c r="K8" s="15">
        <f t="shared" si="7"/>
        <v>4000000</v>
      </c>
      <c r="L8" s="15">
        <f t="shared" si="8"/>
        <v>6000000</v>
      </c>
    </row>
    <row r="9" spans="1:13" x14ac:dyDescent="0.3">
      <c r="A9" s="13" t="s">
        <v>32</v>
      </c>
      <c r="B9" s="14">
        <v>25000</v>
      </c>
      <c r="D9" s="14">
        <f t="shared" si="0"/>
        <v>25000</v>
      </c>
      <c r="E9" s="14">
        <f t="shared" si="1"/>
        <v>250000</v>
      </c>
      <c r="F9" s="14">
        <f t="shared" si="2"/>
        <v>500000</v>
      </c>
      <c r="G9" s="14">
        <f t="shared" si="3"/>
        <v>750000</v>
      </c>
      <c r="H9" s="14">
        <f t="shared" si="4"/>
        <v>1000000</v>
      </c>
      <c r="I9" s="14">
        <f t="shared" si="5"/>
        <v>1250000</v>
      </c>
      <c r="J9" s="15">
        <f t="shared" si="6"/>
        <v>25000000</v>
      </c>
      <c r="K9" s="15">
        <f t="shared" si="7"/>
        <v>50000000</v>
      </c>
      <c r="L9" s="15">
        <f t="shared" si="8"/>
        <v>75000000</v>
      </c>
    </row>
    <row r="10" spans="1:13" x14ac:dyDescent="0.3">
      <c r="A10" s="13" t="s">
        <v>31</v>
      </c>
      <c r="B10" s="14">
        <v>35000</v>
      </c>
      <c r="D10" s="14">
        <f t="shared" si="0"/>
        <v>35000</v>
      </c>
      <c r="E10" s="14">
        <f t="shared" si="1"/>
        <v>350000</v>
      </c>
      <c r="F10" s="14">
        <f t="shared" si="2"/>
        <v>700000</v>
      </c>
      <c r="G10" s="14">
        <f t="shared" si="3"/>
        <v>1050000</v>
      </c>
      <c r="H10" s="14">
        <f t="shared" si="4"/>
        <v>1400000</v>
      </c>
      <c r="I10" s="14">
        <f t="shared" si="5"/>
        <v>1750000</v>
      </c>
      <c r="J10" s="15">
        <f t="shared" si="6"/>
        <v>35000000</v>
      </c>
      <c r="K10" s="15">
        <f t="shared" si="7"/>
        <v>70000000</v>
      </c>
      <c r="L10" s="15">
        <f t="shared" si="8"/>
        <v>105000000</v>
      </c>
    </row>
    <row r="11" spans="1:13" x14ac:dyDescent="0.3">
      <c r="A11" s="13" t="s">
        <v>30</v>
      </c>
      <c r="B11" s="14">
        <v>20000</v>
      </c>
      <c r="D11" s="14">
        <f t="shared" si="0"/>
        <v>20000</v>
      </c>
      <c r="E11" s="14">
        <f t="shared" si="1"/>
        <v>200000</v>
      </c>
      <c r="F11" s="14">
        <f t="shared" si="2"/>
        <v>400000</v>
      </c>
      <c r="G11" s="14">
        <f t="shared" si="3"/>
        <v>600000</v>
      </c>
      <c r="H11" s="14">
        <f t="shared" si="4"/>
        <v>800000</v>
      </c>
      <c r="I11" s="14">
        <f t="shared" si="5"/>
        <v>1000000</v>
      </c>
      <c r="J11" s="15">
        <f t="shared" si="6"/>
        <v>20000000</v>
      </c>
      <c r="K11" s="15">
        <f t="shared" si="7"/>
        <v>40000000</v>
      </c>
      <c r="L11" s="15">
        <f t="shared" si="8"/>
        <v>60000000</v>
      </c>
    </row>
    <row r="12" spans="1:13" x14ac:dyDescent="0.3">
      <c r="A12" s="13" t="s">
        <v>45</v>
      </c>
      <c r="B12" s="14">
        <v>5000</v>
      </c>
      <c r="D12" s="14">
        <f t="shared" si="0"/>
        <v>5000</v>
      </c>
      <c r="E12" s="14">
        <f t="shared" si="1"/>
        <v>50000</v>
      </c>
      <c r="F12" s="14">
        <f t="shared" si="2"/>
        <v>100000</v>
      </c>
      <c r="G12" s="14">
        <f t="shared" si="3"/>
        <v>150000</v>
      </c>
      <c r="H12" s="14">
        <f t="shared" si="4"/>
        <v>200000</v>
      </c>
      <c r="I12" s="14">
        <f t="shared" si="5"/>
        <v>250000</v>
      </c>
      <c r="J12" s="15">
        <f t="shared" si="6"/>
        <v>5000000</v>
      </c>
      <c r="K12" s="15">
        <f t="shared" si="7"/>
        <v>10000000</v>
      </c>
      <c r="L12" s="15">
        <f t="shared" si="8"/>
        <v>15000000</v>
      </c>
    </row>
    <row r="13" spans="1:13" x14ac:dyDescent="0.3">
      <c r="A13" s="13" t="s">
        <v>50</v>
      </c>
      <c r="B13" s="14">
        <v>7000</v>
      </c>
      <c r="D13" s="14">
        <f t="shared" si="0"/>
        <v>7000</v>
      </c>
      <c r="E13" s="14">
        <f t="shared" si="1"/>
        <v>70000</v>
      </c>
      <c r="F13" s="14">
        <f t="shared" ref="F13:F14" si="9">D13*20</f>
        <v>140000</v>
      </c>
      <c r="G13" s="14">
        <f t="shared" ref="G13:G14" si="10">D13*30</f>
        <v>210000</v>
      </c>
      <c r="H13" s="14">
        <f t="shared" ref="H13:H14" si="11">D13*40</f>
        <v>280000</v>
      </c>
      <c r="I13" s="14">
        <f t="shared" ref="I13:I14" si="12">D13*50</f>
        <v>350000</v>
      </c>
      <c r="J13" s="15">
        <f t="shared" ref="J13:J14" si="13">D13*1000</f>
        <v>7000000</v>
      </c>
      <c r="K13" s="15">
        <f t="shared" ref="K13:K14" si="14">D13*2000</f>
        <v>14000000</v>
      </c>
      <c r="L13" s="15">
        <f t="shared" si="8"/>
        <v>21000000</v>
      </c>
    </row>
    <row r="14" spans="1:13" x14ac:dyDescent="0.3">
      <c r="A14" s="13" t="s">
        <v>51</v>
      </c>
      <c r="B14" s="14">
        <v>5000</v>
      </c>
      <c r="D14" s="14">
        <f t="shared" si="0"/>
        <v>5000</v>
      </c>
      <c r="E14" s="14">
        <f t="shared" si="1"/>
        <v>50000</v>
      </c>
      <c r="F14" s="14">
        <f t="shared" si="9"/>
        <v>100000</v>
      </c>
      <c r="G14" s="14">
        <f t="shared" si="10"/>
        <v>150000</v>
      </c>
      <c r="H14" s="14">
        <f t="shared" si="11"/>
        <v>200000</v>
      </c>
      <c r="I14" s="14">
        <f t="shared" si="12"/>
        <v>250000</v>
      </c>
      <c r="J14" s="15">
        <f t="shared" si="13"/>
        <v>5000000</v>
      </c>
      <c r="K14" s="15">
        <f t="shared" si="14"/>
        <v>10000000</v>
      </c>
      <c r="L14" s="15">
        <f t="shared" si="8"/>
        <v>15000000</v>
      </c>
    </row>
    <row r="15" spans="1:13" x14ac:dyDescent="0.3">
      <c r="D15" s="14">
        <f t="shared" si="0"/>
        <v>0</v>
      </c>
    </row>
    <row r="16" spans="1:13" x14ac:dyDescent="0.3">
      <c r="E16" s="14">
        <f>SUM(E3:E15)</f>
        <v>1850000</v>
      </c>
      <c r="F16" s="14">
        <f t="shared" ref="F16:L16" si="15">SUM(F3:F15)</f>
        <v>3700000</v>
      </c>
      <c r="G16" s="14">
        <f t="shared" si="15"/>
        <v>5550000</v>
      </c>
      <c r="H16" s="14">
        <f t="shared" si="15"/>
        <v>7400000</v>
      </c>
      <c r="I16" s="14">
        <f t="shared" si="15"/>
        <v>9250000</v>
      </c>
      <c r="J16" s="14">
        <f t="shared" si="15"/>
        <v>185000000</v>
      </c>
      <c r="K16" s="14">
        <f t="shared" si="15"/>
        <v>370000000</v>
      </c>
      <c r="L16" s="14">
        <f t="shared" si="15"/>
        <v>555000000</v>
      </c>
      <c r="M16" s="15">
        <f>L16/30/12</f>
        <v>1541666.6666666667</v>
      </c>
    </row>
    <row r="17" spans="1:1" x14ac:dyDescent="0.3">
      <c r="A17" s="16" t="s">
        <v>49</v>
      </c>
    </row>
    <row r="18" spans="1:1" x14ac:dyDescent="0.3">
      <c r="A18" s="13" t="s">
        <v>11</v>
      </c>
    </row>
    <row r="19" spans="1:1" x14ac:dyDescent="0.3">
      <c r="A19" s="13" t="s">
        <v>47</v>
      </c>
    </row>
    <row r="20" spans="1:1" x14ac:dyDescent="0.3">
      <c r="A20" s="13" t="s">
        <v>48</v>
      </c>
    </row>
  </sheetData>
  <mergeCells count="5">
    <mergeCell ref="E1:I1"/>
    <mergeCell ref="J1:L1"/>
    <mergeCell ref="B1:B2"/>
    <mergeCell ref="C1:C2"/>
    <mergeCell ref="D1:D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자바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lmy</dc:creator>
  <cp:lastModifiedBy>lmy</cp:lastModifiedBy>
  <cp:lastPrinted>2021-11-18T08:27:52Z</cp:lastPrinted>
  <dcterms:created xsi:type="dcterms:W3CDTF">2021-11-18T04:36:01Z</dcterms:created>
  <dcterms:modified xsi:type="dcterms:W3CDTF">2021-11-30T16:52:27Z</dcterms:modified>
</cp:coreProperties>
</file>